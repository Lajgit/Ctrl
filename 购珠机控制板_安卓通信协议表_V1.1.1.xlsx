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5" windowHeight="13455" activeTab="1"/>
  </bookViews>
  <sheets>
    <sheet name="通信总览" sheetId="1" r:id="rId1"/>
    <sheet name="安卓发给主板" sheetId="2" r:id="rId2"/>
    <sheet name="主板发给安卓" sheetId="3" r:id="rId3"/>
    <sheet name="人民币映射" sheetId="4" r:id="rId4"/>
    <sheet name="购买与故障流程" sheetId="5" r:id="rId5"/>
    <sheet name="联调确认项" sheetId="6" r:id="rId6"/>
    <sheet name="价格编码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<sst xmlns="http://schemas.openxmlformats.org/spreadsheetml/2006/main" count="476" uniqueCount="318">
  <si>
    <t>购珠机控制板与安卓通信协议（价格分单位版 1.1.1.0）</t>
  </si>
  <si>
    <t>接口</t>
  </si>
  <si>
    <t>引脚</t>
  </si>
  <si>
    <t>波特率</t>
  </si>
  <si>
    <t>格式</t>
  </si>
  <si>
    <t>帧长</t>
  </si>
  <si>
    <t>帧头/帧尾</t>
  </si>
  <si>
    <t>CRC16</t>
  </si>
  <si>
    <t>USART1 控制板↔安卓</t>
  </si>
  <si>
    <t>PA9 TX / PA10 RX</t>
  </si>
  <si>
    <t>8N1，无流控</t>
  </si>
  <si>
    <t>14 字节</t>
  </si>
  <si>
    <t>0xAA / 0x55</t>
  </si>
  <si>
    <t>字节0~10，初值0xFFFF，多项式0xA001</t>
  </si>
  <si>
    <t>核心参数</t>
  </si>
  <si>
    <t>默认值</t>
  </si>
  <si>
    <t>单位</t>
  </si>
  <si>
    <t>可配置</t>
  </si>
  <si>
    <t>触发/用途</t>
  </si>
  <si>
    <t>掉电保存</t>
  </si>
  <si>
    <t>备注</t>
  </si>
  <si>
    <t>单颗珠子价格</t>
  </si>
  <si>
    <t>人民币元/颗（协议按分）</t>
  </si>
  <si>
    <t>安卓 Code2=0x20</t>
  </si>
  <si>
    <t>纸币/硬币金额换算</t>
  </si>
  <si>
    <t>是</t>
  </si>
  <si>
    <t>允许0.01~100.00元；协议整数1~10000分</t>
  </si>
  <si>
    <t>珠子库存</t>
  </si>
  <si>
    <t>颗</t>
  </si>
  <si>
    <t>K1补珠重置</t>
  </si>
  <si>
    <t>每次PD3确认后减1</t>
  </si>
  <si>
    <t>暂定值</t>
  </si>
  <si>
    <t>低库存阈值</t>
  </si>
  <si>
    <t>固件常量</t>
  </si>
  <si>
    <t>首次降到阈值或以下上报</t>
  </si>
  <si>
    <t>否</t>
  </si>
  <si>
    <t>补珠延时</t>
  </si>
  <si>
    <t>秒</t>
  </si>
  <si>
    <t>K1后留出关门时间</t>
  </si>
  <si>
    <t>有欠吐数量时生效</t>
  </si>
  <si>
    <t>正转无反馈超时</t>
  </si>
  <si>
    <t>触发反转清障或无珠</t>
  </si>
  <si>
    <t/>
  </si>
  <si>
    <t>反转清障时间</t>
  </si>
  <si>
    <t>毫秒</t>
  </si>
  <si>
    <t>第一次超时后反转</t>
  </si>
  <si>
    <t>金额统一使用人民币分：0.01元=1，1.00元=100，100.00元=10000；禁止发送浮点数。</t>
  </si>
  <si>
    <t>协议来源</t>
  </si>
  <si>
    <t>https://github.com/Lajgit/Ctrl/blob/main/ANDROID_COMMUNICATION_PROTOCOL.md</t>
  </si>
  <si>
    <t>安卓 → 控制板命令（Code1 = 0x01）</t>
  </si>
  <si>
    <t>Code2</t>
  </si>
  <si>
    <t>名称</t>
  </si>
  <si>
    <t>Data1:Data4</t>
  </si>
  <si>
    <t>ExpandCode</t>
  </si>
  <si>
    <t>主板动作</t>
  </si>
  <si>
    <t>应答/去重</t>
  </si>
  <si>
    <t>0x00</t>
  </si>
  <si>
    <t>VersionRequest</t>
  </si>
  <si>
    <t>忽略</t>
  </si>
  <si>
    <t>请求固件版本</t>
  </si>
  <si>
    <t>先原样应答；5秒去重</t>
  </si>
  <si>
    <t>0x01</t>
  </si>
  <si>
    <t>BeadMotor1Output</t>
  </si>
  <si>
    <t>Data3:Data4=数量</t>
  </si>
  <si>
    <t>维护/调试吐珠</t>
  </si>
  <si>
    <t>库存为0时拒绝</t>
  </si>
  <si>
    <t>0x02</t>
  </si>
  <si>
    <t>BeadMotor2Output</t>
  </si>
  <si>
    <t>启动存珠电机</t>
  </si>
  <si>
    <t>0x10</t>
  </si>
  <si>
    <t>Unlock</t>
  </si>
  <si>
    <t>电子锁吸合约800ms</t>
  </si>
  <si>
    <t>0x19</t>
  </si>
  <si>
    <t>BillCurrencyModeSet</t>
  </si>
  <si>
    <t>Data4=0x00/0x01</t>
  </si>
  <si>
    <t>人民币/外币模式</t>
  </si>
  <si>
    <t>自动购买当前仅人民币</t>
  </si>
  <si>
    <t>0x1A</t>
  </si>
  <si>
    <t>BillEnable</t>
  </si>
  <si>
    <t>向ICT发送0x3E</t>
  </si>
  <si>
    <t>无珠时拒绝，需K1恢复</t>
  </si>
  <si>
    <t>0x1B</t>
  </si>
  <si>
    <t>BillDisable</t>
  </si>
  <si>
    <t>向ICT发送0x5E</t>
  </si>
  <si>
    <t>0x1C</t>
  </si>
  <si>
    <t>BillReset</t>
  </si>
  <si>
    <t>向ICT发送0x30</t>
  </si>
  <si>
    <t>0x20</t>
  </si>
  <si>
    <t>BeadPriceSet</t>
  </si>
  <si>
    <t>32位无符号整数，单位分</t>
  </si>
  <si>
    <t>设置单颗珠子价格</t>
  </si>
  <si>
    <t>有效1~10000分，即0.01~100元/颗</t>
  </si>
  <si>
    <t>0x21</t>
  </si>
  <si>
    <t>PurchaseStatusRequest</t>
  </si>
  <si>
    <t>返回价格/库存/欠吐/余额</t>
  </si>
  <si>
    <t>0xF0</t>
  </si>
  <si>
    <t>BoardRestart</t>
  </si>
  <si>
    <t>0x424F5441进Bootloader</t>
  </si>
  <si>
    <t>重启控制板</t>
  </si>
  <si>
    <t>ASCII BOTA</t>
  </si>
  <si>
    <t>0xFF</t>
  </si>
  <si>
    <t>StopAllDevice</t>
  </si>
  <si>
    <t>停止两路电机和电子锁</t>
  </si>
  <si>
    <t>欠吐数量保留，10秒后可恢复</t>
  </si>
  <si>
    <t>控制板 → 安卓事件/状态（Code1 = 0x00）</t>
  </si>
  <si>
    <t>Data1</t>
  </si>
  <si>
    <t>Data2</t>
  </si>
  <si>
    <t>Data3</t>
  </si>
  <si>
    <t>Data4</t>
  </si>
  <si>
    <t>ACK</t>
  </si>
  <si>
    <t>说明</t>
  </si>
  <si>
    <t>主版本</t>
  </si>
  <si>
    <t>次版本</t>
  </si>
  <si>
    <t>修订版本</t>
  </si>
  <si>
    <t>构建版本</t>
  </si>
  <si>
    <t>需要</t>
  </si>
  <si>
    <t>当前1.1.1.0</t>
  </si>
  <si>
    <t>BeadMotor1Feedback</t>
  </si>
  <si>
    <t>0</t>
  </si>
  <si>
    <t>1</t>
  </si>
  <si>
    <t>不需要</t>
  </si>
  <si>
    <t>PD3确认成功吐出一颗</t>
  </si>
  <si>
    <t>CoinInput</t>
  </si>
  <si>
    <t>检测到一个1元硬币脉冲</t>
  </si>
  <si>
    <t>0x03</t>
  </si>
  <si>
    <t>BeadMotor2Feedback</t>
  </si>
  <si>
    <t>PD4存珠反馈一次</t>
  </si>
  <si>
    <t>0x04</t>
  </si>
  <si>
    <t>BillAccepted</t>
  </si>
  <si>
    <t>币种模式</t>
  </si>
  <si>
    <t>ICT类型码</t>
  </si>
  <si>
    <t>纸币序号</t>
  </si>
  <si>
    <t>0x10/0x83</t>
  </si>
  <si>
    <t>收钞完成；固件同时计算购买</t>
  </si>
  <si>
    <t>0x05</t>
  </si>
  <si>
    <t>RemainingBead</t>
  </si>
  <si>
    <t>吐珠剩余高</t>
  </si>
  <si>
    <t>吐珠剩余低</t>
  </si>
  <si>
    <t>存珠剩余高</t>
  </si>
  <si>
    <t>存珠剩余低</t>
  </si>
  <si>
    <t>电机当前排队数</t>
  </si>
  <si>
    <t>0x07</t>
  </si>
  <si>
    <t>BeadMotor1Timeout</t>
  </si>
  <si>
    <t>剩余高</t>
  </si>
  <si>
    <t>剩余低</t>
  </si>
  <si>
    <t>反转后再次正转仍无反馈</t>
  </si>
  <si>
    <t>0x08</t>
  </si>
  <si>
    <t>BeadMotor2Timeout</t>
  </si>
  <si>
    <t>存珠电机超时</t>
  </si>
  <si>
    <t>BeadPriceStatus</t>
  </si>
  <si>
    <t>价格字节3</t>
  </si>
  <si>
    <t>价格字节2</t>
  </si>
  <si>
    <t>价格字节1</t>
  </si>
  <si>
    <t>价格字节0</t>
  </si>
  <si>
    <t>Data1:Data4为单颗价格（分）；ExpandCode 0成功/1无效</t>
  </si>
  <si>
    <t>BeadStockStatus</t>
  </si>
  <si>
    <t>库存字节3</t>
  </si>
  <si>
    <t>库存字节2</t>
  </si>
  <si>
    <t>库存字节1</t>
  </si>
  <si>
    <t>库存字节0</t>
  </si>
  <si>
    <t>每吐一颗同步</t>
  </si>
  <si>
    <t>0x22</t>
  </si>
  <si>
    <t>PurchasePendingStatus</t>
  </si>
  <si>
    <t>欠吐字节3</t>
  </si>
  <si>
    <t>欠吐字节2</t>
  </si>
  <si>
    <t>欠吐字节1</t>
  </si>
  <si>
    <t>欠吐字节0</t>
  </si>
  <si>
    <t>已收款但尚未吐出的数量</t>
  </si>
  <si>
    <t>0x23</t>
  </si>
  <si>
    <t>PurchaseCreditStatus</t>
  </si>
  <si>
    <t>余额字节3</t>
  </si>
  <si>
    <t>余额字节2</t>
  </si>
  <si>
    <t>余额字节1</t>
  </si>
  <si>
    <t>余额字节0</t>
  </si>
  <si>
    <t>不足一颗的人民币余额，单位分</t>
  </si>
  <si>
    <t>0x24</t>
  </si>
  <si>
    <t>BeadLowStock</t>
  </si>
  <si>
    <t>首次降到3000或以下</t>
  </si>
  <si>
    <t>0x25</t>
  </si>
  <si>
    <t>BeadEmpty</t>
  </si>
  <si>
    <t>无珠；纸钞机已禁用</t>
  </si>
  <si>
    <t>0x26</t>
  </si>
  <si>
    <t>BeadRefilled</t>
  </si>
  <si>
    <t>K1补珠；安卓恢复购买界面</t>
  </si>
  <si>
    <t>ICT 人民币类型码与固件购买映射</t>
  </si>
  <si>
    <t>金额（元）</t>
  </si>
  <si>
    <t>固件累计值（分）</t>
  </si>
  <si>
    <t>完成状态</t>
  </si>
  <si>
    <t>固件动作</t>
  </si>
  <si>
    <t>0x40</t>
  </si>
  <si>
    <t>0x10 或 0x83 + 0x40</t>
  </si>
  <si>
    <t>累计100分并换算吐珠</t>
  </si>
  <si>
    <t>0x41</t>
  </si>
  <si>
    <t>0x10 或 0x83 + 0x41</t>
  </si>
  <si>
    <t>累计500分并换算吐珠</t>
  </si>
  <si>
    <t>0x42</t>
  </si>
  <si>
    <t>0x10 或 0x83 + 0x42</t>
  </si>
  <si>
    <t>累计1000分并换算吐珠</t>
  </si>
  <si>
    <t>0x43</t>
  </si>
  <si>
    <t>0x10 或 0x83 + 0x43</t>
  </si>
  <si>
    <t>累计2000分并换算吐珠</t>
  </si>
  <si>
    <t>0x44</t>
  </si>
  <si>
    <t>0x10 或 0x83 + 0x44</t>
  </si>
  <si>
    <t>累计5000分并换算吐珠</t>
  </si>
  <si>
    <t>0x45</t>
  </si>
  <si>
    <t>0x10 或 0x83 + 0x45</t>
  </si>
  <si>
    <t>累计10000分并换算吐珠</t>
  </si>
  <si>
    <t>0x46~0x4F 仍上报 BillAccepted，但当前人民币购买逻辑不换算吐珠。</t>
  </si>
  <si>
    <t>固件购买、无珠和补珠恢复流程</t>
  </si>
  <si>
    <t>步骤</t>
  </si>
  <si>
    <t>触发</t>
  </si>
  <si>
    <t>控制板处理</t>
  </si>
  <si>
    <t>电机/纸钞机</t>
  </si>
  <si>
    <t>安卓通知</t>
  </si>
  <si>
    <t>掉电状态</t>
  </si>
  <si>
    <t>纸币0x10或0x83完成</t>
  </si>
  <si>
    <t>按类型码累计人民币分值</t>
  </si>
  <si>
    <t>保持纸钞机启用</t>
  </si>
  <si>
    <t>BillAccepted、欠吐/余额状态</t>
  </si>
  <si>
    <t>立即请求保存</t>
  </si>
  <si>
    <t>1元硬币有效脉冲</t>
  </si>
  <si>
    <t>累计100分并按价格换算</t>
  </si>
  <si>
    <t>—</t>
  </si>
  <si>
    <t>CoinInput、欠吐/余额状态</t>
  </si>
  <si>
    <t>存在欠吐数量</t>
  </si>
  <si>
    <t>控制板直接安排Motor1吐珠</t>
  </si>
  <si>
    <t>正转</t>
  </si>
  <si>
    <t>欠吐已保存</t>
  </si>
  <si>
    <t>PD3确认一颗</t>
  </si>
  <si>
    <t>库存和欠吐各减1</t>
  </si>
  <si>
    <t>继续或停止</t>
  </si>
  <si>
    <t>反馈、库存、欠吐</t>
  </si>
  <si>
    <t>每颗请求保存</t>
  </si>
  <si>
    <t>库存首次≤3000</t>
  </si>
  <si>
    <t>置低库存已通知标志</t>
  </si>
  <si>
    <t>继续购买</t>
  </si>
  <si>
    <t>BeadLowStock（需ACK）</t>
  </si>
  <si>
    <t>库存已保存</t>
  </si>
  <si>
    <t>正转3秒无PD3</t>
  </si>
  <si>
    <t>进入清障</t>
  </si>
  <si>
    <t>反转300ms</t>
  </si>
  <si>
    <t>暂不上报无珠</t>
  </si>
  <si>
    <t>欠吐不变</t>
  </si>
  <si>
    <t>再次正转3秒无PD3</t>
  </si>
  <si>
    <t>判定无珠、库存校准为0</t>
  </si>
  <si>
    <t>停电机；纸钞机0x5E禁用</t>
  </si>
  <si>
    <t>Timeout + BeadEmpty</t>
  </si>
  <si>
    <t>欠吐/无珠标志保存</t>
  </si>
  <si>
    <t>K1按下</t>
  </si>
  <si>
    <t>库存重置10000、清除无珠</t>
  </si>
  <si>
    <t>纸钞机0x3E启用</t>
  </si>
  <si>
    <t>BeadRefilled（需ACK）</t>
  </si>
  <si>
    <t>立即保存</t>
  </si>
  <si>
    <t>K1后仍有欠吐</t>
  </si>
  <si>
    <t>等待10秒关门</t>
  </si>
  <si>
    <t>10秒后恢复正转</t>
  </si>
  <si>
    <t>状态持续同步</t>
  </si>
  <si>
    <t>欠吐保持</t>
  </si>
  <si>
    <t>无珠状态掉电重启</t>
  </si>
  <si>
    <t>恢复无珠锁定</t>
  </si>
  <si>
    <t>继续禁用纸钞机</t>
  </si>
  <si>
    <t>上电主动发BeadEmpty</t>
  </si>
  <si>
    <t>从Flash恢复</t>
  </si>
  <si>
    <t>固件购买功能联调检查表</t>
  </si>
  <si>
    <t>序号</t>
  </si>
  <si>
    <t>测试项目</t>
  </si>
  <si>
    <t>预期结果</t>
  </si>
  <si>
    <t>状态</t>
  </si>
  <si>
    <t>记录</t>
  </si>
  <si>
    <t>价格设为3.00元（发送300），投入3个1元硬币</t>
  </si>
  <si>
    <t>吐1颗；余额0分；库存减1</t>
  </si>
  <si>
    <t>待验证</t>
  </si>
  <si>
    <t>价格设为3.00元（发送300），投入0x41五元纸币</t>
  </si>
  <si>
    <t>吐1颗；余额200分（2.00元）</t>
  </si>
  <si>
    <t>逐项测试0x40~0x45</t>
  </si>
  <si>
    <t>分别按1/5/10/20/50/100元换算</t>
  </si>
  <si>
    <t>每次PD3反馈后立即断电重启</t>
  </si>
  <si>
    <t>库存与欠吐从Flash恢复，最多存在一个反馈确认窗口</t>
  </si>
  <si>
    <t>有欠吐数量时掉电重启</t>
  </si>
  <si>
    <t>上电等待10秒后自动继续吐珠</t>
  </si>
  <si>
    <t>正转不产生PD3反馈</t>
  </si>
  <si>
    <t>3秒后反转约300ms，再次正转</t>
  </si>
  <si>
    <t>再次正转仍无PD3反馈</t>
  </si>
  <si>
    <t>停机、0x5E禁用纸钞机、发送0x25无珠</t>
  </si>
  <si>
    <t>纸钞机仍被禁用，安卓收到无珠状态</t>
  </si>
  <si>
    <t>按K1补珠</t>
  </si>
  <si>
    <t>库存10000、0x3E启用纸钞机、发送0x26</t>
  </si>
  <si>
    <t>K1时仍有欠吐</t>
  </si>
  <si>
    <t>等待约10秒再继续吐出</t>
  </si>
  <si>
    <t>库存3001→3000</t>
  </si>
  <si>
    <t>只触发一次0x24库存不足</t>
  </si>
  <si>
    <t>Bootloader/OTA升级</t>
  </si>
  <si>
    <t>确认不擦除0x08008000~0x0800BFFF</t>
  </si>
  <si>
    <t>待确认</t>
  </si>
  <si>
    <t>K1硬件映射</t>
  </si>
  <si>
    <t>确认K1确为KeyBoard3/DOWN/编码器值3</t>
  </si>
  <si>
    <t>电机方向与时序</t>
  </si>
  <si>
    <t>确认正反转方向、85% PWM、3秒/300ms参数</t>
  </si>
  <si>
    <t>价格下限0.01元</t>
  </si>
  <si>
    <t>发送1，设置成功；价格状态返回1分</t>
  </si>
  <si>
    <t>价格上限100.00元</t>
  </si>
  <si>
    <t>发送10000，设置成功；价格状态返回10000分</t>
  </si>
  <si>
    <t>价格低于下限</t>
  </si>
  <si>
    <t>发送0，设置失败；ExpandCode=0x01并返回当前有效价格</t>
  </si>
  <si>
    <t>价格高于上限</t>
  </si>
  <si>
    <t>发送10001，设置失败；ExpandCode=0x01并返回当前有效价格</t>
  </si>
  <si>
    <t>价格与余额的协议编码（人民币分）</t>
  </si>
  <si>
    <t>显示价格（元）</t>
  </si>
  <si>
    <t>协议整数（分）</t>
  </si>
  <si>
    <t>32位十六进制</t>
  </si>
  <si>
    <t>0x00000001</t>
  </si>
  <si>
    <t>0x00000064</t>
  </si>
  <si>
    <t>0x64</t>
  </si>
  <si>
    <t>0x000000FA</t>
  </si>
  <si>
    <t>0xFA</t>
  </si>
  <si>
    <t>0x00002710</t>
  </si>
  <si>
    <t>0x27</t>
  </si>
  <si>
    <t>安卓发送：先将元乘以100并四舍五入到整数分；控制板与安卓均不得传输浮点数。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</si>
</sst>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1"/>
      <color rgb="FF7F6000"/>
      <name val="Carlito"/>
      <charset val="134"/>
    </font>
    <font>
      <i/>
      <sz val="11"/>
      <color rgb="FF385723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5" fillId="0" borderId="0">
      <alignment vertical="center"/>
    </xf>
    <xf numFmtId="176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6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15" applyNumberFormat="0" applyAlignment="0" applyProtection="0">
      <alignment vertical="center"/>
    </xf>
    <xf numFmtId="0" fontId="15" fillId="8" borderId="16" applyNumberFormat="0" applyAlignment="0" applyProtection="0">
      <alignment vertical="center"/>
    </xf>
    <xf numFmtId="0" fontId="16" fillId="8" borderId="15" applyNumberFormat="0" applyAlignment="0" applyProtection="0">
      <alignment vertical="center"/>
    </xf>
    <xf numFmtId="0" fontId="17" fillId="9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0" fillId="0" borderId="0"/>
  </cellStyleXfs>
  <cellXfs count="27">
    <xf numFmtId="0" fontId="0" fillId="0" borderId="0" xfId="49"/>
    <xf numFmtId="0" fontId="1" fillId="2" borderId="0" xfId="49" applyNumberFormat="1" applyFont="1" applyFill="1" applyAlignment="1">
      <alignment horizontal="center" vertical="center"/>
    </xf>
    <xf numFmtId="0" fontId="2" fillId="3" borderId="1" xfId="49" applyNumberFormat="1" applyFont="1" applyFill="1" applyBorder="1" applyAlignment="1">
      <alignment horizontal="center" vertical="center" wrapText="1"/>
    </xf>
    <xf numFmtId="0" fontId="2" fillId="3" borderId="2" xfId="49" applyNumberFormat="1" applyFont="1" applyFill="1" applyBorder="1" applyAlignment="1">
      <alignment horizontal="center" vertical="center" wrapText="1"/>
    </xf>
    <xf numFmtId="0" fontId="2" fillId="3" borderId="3" xfId="49" applyNumberFormat="1" applyFont="1" applyFill="1" applyBorder="1" applyAlignment="1">
      <alignment horizontal="center" vertical="center" wrapText="1"/>
    </xf>
    <xf numFmtId="2" fontId="0" fillId="0" borderId="4" xfId="49" applyNumberFormat="1" applyFont="1" applyFill="1" applyBorder="1" applyAlignment="1">
      <alignment vertical="center" wrapText="1"/>
    </xf>
    <xf numFmtId="0" fontId="0" fillId="0" borderId="5" xfId="49" applyNumberFormat="1" applyFont="1" applyFill="1" applyBorder="1" applyAlignment="1">
      <alignment vertical="center" wrapText="1"/>
    </xf>
    <xf numFmtId="0" fontId="0" fillId="0" borderId="6" xfId="49" applyNumberFormat="1" applyFont="1" applyFill="1" applyBorder="1" applyAlignment="1">
      <alignment vertical="center" wrapText="1"/>
    </xf>
    <xf numFmtId="2" fontId="0" fillId="0" borderId="7" xfId="49" applyNumberFormat="1" applyFont="1" applyFill="1" applyBorder="1" applyAlignment="1">
      <alignment vertical="center" wrapText="1"/>
    </xf>
    <xf numFmtId="0" fontId="0" fillId="0" borderId="0" xfId="49" applyNumberFormat="1" applyFont="1" applyFill="1" applyAlignment="1">
      <alignment vertical="center" wrapText="1"/>
    </xf>
    <xf numFmtId="0" fontId="0" fillId="0" borderId="8" xfId="49" applyNumberFormat="1" applyFont="1" applyFill="1" applyBorder="1" applyAlignment="1">
      <alignment vertical="center" wrapText="1"/>
    </xf>
    <xf numFmtId="2" fontId="0" fillId="0" borderId="9" xfId="49" applyNumberFormat="1" applyFont="1" applyFill="1" applyBorder="1" applyAlignment="1">
      <alignment vertical="center" wrapText="1"/>
    </xf>
    <xf numFmtId="0" fontId="0" fillId="0" borderId="10" xfId="49" applyNumberFormat="1" applyFont="1" applyFill="1" applyBorder="1" applyAlignment="1">
      <alignment vertical="center" wrapText="1"/>
    </xf>
    <xf numFmtId="0" fontId="0" fillId="0" borderId="11" xfId="49" applyNumberFormat="1" applyFont="1" applyFill="1" applyBorder="1" applyAlignment="1">
      <alignment vertical="center" wrapText="1"/>
    </xf>
    <xf numFmtId="0" fontId="3" fillId="4" borderId="0" xfId="49" applyNumberFormat="1" applyFont="1" applyFill="1" applyAlignment="1">
      <alignment horizontal="center" vertical="center" wrapText="1"/>
    </xf>
    <xf numFmtId="0" fontId="4" fillId="5" borderId="0" xfId="49" applyNumberFormat="1" applyFont="1" applyFill="1" applyBorder="1" applyAlignment="1">
      <alignment wrapText="1"/>
    </xf>
    <xf numFmtId="0" fontId="1" fillId="2" borderId="0" xfId="49" applyNumberFormat="1" applyFont="1" applyFill="1" applyBorder="1" applyAlignment="1">
      <alignment horizontal="center" vertical="center" wrapText="1"/>
    </xf>
    <xf numFmtId="0" fontId="0" fillId="0" borderId="0" xfId="49" applyNumberFormat="1" applyFont="1" applyFill="1" applyBorder="1" applyAlignment="1">
      <alignment wrapText="1"/>
    </xf>
    <xf numFmtId="0" fontId="0" fillId="0" borderId="4" xfId="49" applyNumberFormat="1" applyFont="1" applyFill="1" applyBorder="1" applyAlignment="1">
      <alignment vertical="center" wrapText="1"/>
    </xf>
    <xf numFmtId="0" fontId="0" fillId="0" borderId="7" xfId="49" applyNumberFormat="1" applyFont="1" applyFill="1" applyBorder="1" applyAlignment="1">
      <alignment vertical="center" wrapText="1"/>
    </xf>
    <xf numFmtId="0" fontId="0" fillId="0" borderId="0" xfId="49" applyNumberFormat="1" applyFont="1" applyFill="1" applyBorder="1" applyAlignment="1">
      <alignment vertical="center" wrapText="1"/>
    </xf>
    <xf numFmtId="0" fontId="0" fillId="0" borderId="9" xfId="49" applyNumberFormat="1" applyFont="1" applyFill="1" applyBorder="1" applyAlignment="1">
      <alignment vertical="center" wrapText="1"/>
    </xf>
    <xf numFmtId="0" fontId="3" fillId="4" borderId="0" xfId="49" applyNumberFormat="1" applyFont="1" applyFill="1" applyBorder="1" applyAlignment="1">
      <alignment vertical="center" wrapText="1"/>
    </xf>
    <xf numFmtId="0" fontId="0" fillId="0" borderId="1" xfId="49" applyNumberFormat="1" applyFont="1" applyFill="1" applyBorder="1" applyAlignment="1">
      <alignment vertical="center" wrapText="1"/>
    </xf>
    <xf numFmtId="0" fontId="0" fillId="0" borderId="2" xfId="49" applyNumberFormat="1" applyFont="1" applyFill="1" applyBorder="1" applyAlignment="1">
      <alignment vertical="center" wrapText="1"/>
    </xf>
    <xf numFmtId="0" fontId="0" fillId="0" borderId="3" xfId="49" applyNumberFormat="1" applyFont="1" applyFill="1" applyBorder="1" applyAlignment="1">
      <alignment vertical="center" wrapText="1"/>
    </xf>
    <xf numFmtId="2" fontId="0" fillId="0" borderId="5" xfId="49" applyNumberFormat="1" applyFont="1" applyFill="1" applyBorder="1" applyAlignment="1">
      <alignment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3">
    <dxf>
      <font>
        <b val="1"/>
        <color rgb="FF385723"/>
      </font>
      <fill>
        <patternFill patternType="solid">
          <bgColor rgb="FFC6E0B4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C6E0B4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7F6000"/>
      </font>
      <fill>
        <patternFill patternType="solid">
          <bgColor rgb="FFFFF2C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2"/>
      <tableStyleElement type="headerRow" dxfId="11"/>
      <tableStyleElement type="totalRow" dxfId="10"/>
      <tableStyleElement type="firstColumn" dxfId="9"/>
      <tableStyleElement type="lastColumn" dxfId="8"/>
      <tableStyleElement type="firstRowStripe" dxfId="7"/>
      <tableStyleElement type="firstColumnStripe" dxfId="6"/>
    </tableStyle>
    <tableStyle name="PivotStylePreset2_Accent1" table="0" count="10" xr9:uid="{267968C8-6FFD-4C36-ACC1-9EA1FD1885CA}">
      <tableStyleElement type="headerRow" dxfId="22"/>
      <tableStyleElement type="totalRow" dxfId="21"/>
      <tableStyleElement type="firstRowStripe" dxfId="20"/>
      <tableStyleElement type="firstColumnStripe" dxfId="19"/>
      <tableStyleElement type="firstSubtotalRow" dxfId="18"/>
      <tableStyleElement type="secondSubtotalRow" dxfId="17"/>
      <tableStyleElement type="firstRowSubheading" dxfId="16"/>
      <tableStyleElement type="secondRowSubheading" dxfId="15"/>
      <tableStyleElement type="pageFieldLabels" dxfId="14"/>
      <tableStyleElement type="pageFieldValues" dxfId="1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OverviewSerialTable" displayName="OverviewSerialTable" ref="A3:G4">
  <tableColumns count="7">
    <tableColumn id="1" name="接口"/>
    <tableColumn id="2" name="引脚"/>
    <tableColumn id="3" name="波特率"/>
    <tableColumn id="4" name="格式"/>
    <tableColumn id="5" name="帧长"/>
    <tableColumn id="6" name="帧头/帧尾"/>
    <tableColumn id="7" name="CRC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urchaseParamsTable" displayName="PurchaseParamsTable" ref="A6:G12">
  <tableColumns count="7">
    <tableColumn id="1" name="核心参数"/>
    <tableColumn id="2" name="默认值"/>
    <tableColumn id="3" name="单位"/>
    <tableColumn id="4" name="可配置"/>
    <tableColumn id="5" name="触发/用途"/>
    <tableColumn id="6" name="掉电保存"/>
    <tableColumn id="7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ndroidCommandsTable" displayName="AndroidCommandsTable" ref="A3:G15">
  <tableColumns count="7">
    <tableColumn id="1" name="Code2"/>
    <tableColumn id="2" name="名称"/>
    <tableColumn id="3" name="Data1:Data4"/>
    <tableColumn id="4" name="ExpandCode"/>
    <tableColumn id="5" name="主板动作"/>
    <tableColumn id="6" name="应答/去重"/>
    <tableColumn id="7" name="备注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BoardEventsTable" displayName="BoardEventsTable" ref="A3:H18">
  <tableColumns count="8">
    <tableColumn id="1" name="Code2"/>
    <tableColumn id="2" name="名称"/>
    <tableColumn id="3" name="Data1"/>
    <tableColumn id="4" name="Data2"/>
    <tableColumn id="5" name="Data3"/>
    <tableColumn id="6" name="Data4"/>
    <tableColumn id="7" name="ACK"/>
    <tableColumn id="8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mbMappingTable" displayName="RmbMappingTable" ref="A3:E9">
  <tableColumns count="5">
    <tableColumn id="1" name="ICT类型码"/>
    <tableColumn id="2" name="金额（元）"/>
    <tableColumn id="3" name="正常完成"/>
    <tableColumn id="4" name="卡钞已堆叠"/>
    <tableColumn id="5" name="固件动作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urchaseFlowTable" displayName="PurchaseFlowTable" ref="A3:F13">
  <tableColumns count="6">
    <tableColumn id="1" name="步骤"/>
    <tableColumn id="2" name="触发"/>
    <tableColumn id="3" name="控制板处理"/>
    <tableColumn id="4" name="电机/纸钞机"/>
    <tableColumn id="5" name="安卓通知"/>
    <tableColumn id="6" name="掉电状态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FirmwarePurchaseChecklist" displayName="FirmwarePurchaseChecklist" ref="A3:E17">
  <tableColumns count="5">
    <tableColumn id="1" name="序号"/>
    <tableColumn id="2" name="测试项目"/>
    <tableColumn id="3" name="预期结果"/>
    <tableColumn id="4" name="状态"/>
    <tableColumn id="5" name="记录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0"/>
  <sheetViews>
    <sheetView topLeftCell="A8" workbookViewId="0">
      <selection activeCell="A1" sqref="A1:G1"/>
    </sheetView>
  </sheetViews>
  <sheetFormatPr defaultColWidth="9" defaultRowHeight="14.25"/>
  <cols>
    <col min="1" max="2" width="22" customWidth="1"/>
    <col min="3" max="3" width="16" customWidth="1"/>
    <col min="4" max="4" width="22" customWidth="1"/>
    <col min="5" max="5" width="32" customWidth="1"/>
    <col min="6" max="6" width="14" customWidth="1"/>
    <col min="7" max="7" width="42" customWidth="1"/>
  </cols>
  <sheetData>
    <row r="1" ht="32" customHeight="1" spans="1:26">
      <c r="A1" s="16" t="s">
        <v>0</v>
      </c>
      <c r="B1" s="16"/>
      <c r="C1" s="16"/>
      <c r="D1" s="16"/>
      <c r="E1" s="16"/>
      <c r="F1" s="16"/>
      <c r="G1" s="16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" customHeight="1" spans="1:26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22" customHeight="1" spans="1:26">
      <c r="A3" s="2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4" t="s">
        <v>7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22" customHeight="1" spans="1:26">
      <c r="A4" s="23" t="s">
        <v>8</v>
      </c>
      <c r="B4" s="24" t="s">
        <v>9</v>
      </c>
      <c r="C4" s="24">
        <v>115200</v>
      </c>
      <c r="D4" s="24" t="s">
        <v>10</v>
      </c>
      <c r="E4" s="24" t="s">
        <v>11</v>
      </c>
      <c r="F4" s="24" t="s">
        <v>12</v>
      </c>
      <c r="G4" s="25" t="s">
        <v>13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22" customHeight="1" spans="1:26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22" customHeight="1" spans="1:26">
      <c r="A6" s="2" t="s">
        <v>14</v>
      </c>
      <c r="B6" s="3" t="s">
        <v>15</v>
      </c>
      <c r="C6" s="3" t="s">
        <v>16</v>
      </c>
      <c r="D6" s="3" t="s">
        <v>17</v>
      </c>
      <c r="E6" s="3" t="s">
        <v>18</v>
      </c>
      <c r="F6" s="3" t="s">
        <v>19</v>
      </c>
      <c r="G6" s="4" t="s">
        <v>20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22" customHeight="1" spans="1:26">
      <c r="A7" s="18" t="s">
        <v>21</v>
      </c>
      <c r="B7" s="26">
        <v>1</v>
      </c>
      <c r="C7" s="6" t="s">
        <v>22</v>
      </c>
      <c r="D7" s="6" t="s">
        <v>23</v>
      </c>
      <c r="E7" s="6" t="s">
        <v>24</v>
      </c>
      <c r="F7" s="6" t="s">
        <v>25</v>
      </c>
      <c r="G7" s="7" t="s">
        <v>26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22" customHeight="1" spans="1:26">
      <c r="A8" s="19" t="s">
        <v>27</v>
      </c>
      <c r="B8" s="20">
        <v>10000</v>
      </c>
      <c r="C8" s="20" t="s">
        <v>28</v>
      </c>
      <c r="D8" s="20" t="s">
        <v>29</v>
      </c>
      <c r="E8" s="20" t="s">
        <v>30</v>
      </c>
      <c r="F8" s="20" t="s">
        <v>25</v>
      </c>
      <c r="G8" s="10" t="s">
        <v>31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22" customHeight="1" spans="1:26">
      <c r="A9" s="19" t="s">
        <v>32</v>
      </c>
      <c r="B9" s="20">
        <v>3000</v>
      </c>
      <c r="C9" s="20" t="s">
        <v>28</v>
      </c>
      <c r="D9" s="20" t="s">
        <v>33</v>
      </c>
      <c r="E9" s="20" t="s">
        <v>34</v>
      </c>
      <c r="F9" s="20" t="s">
        <v>35</v>
      </c>
      <c r="G9" s="10" t="s">
        <v>31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22" customHeight="1" spans="1:26">
      <c r="A10" s="19" t="s">
        <v>36</v>
      </c>
      <c r="B10" s="20">
        <v>10</v>
      </c>
      <c r="C10" s="20" t="s">
        <v>37</v>
      </c>
      <c r="D10" s="20" t="s">
        <v>33</v>
      </c>
      <c r="E10" s="20" t="s">
        <v>38</v>
      </c>
      <c r="F10" s="20" t="s">
        <v>35</v>
      </c>
      <c r="G10" s="10" t="s">
        <v>39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22" customHeight="1" spans="1:26">
      <c r="A11" s="19" t="s">
        <v>40</v>
      </c>
      <c r="B11" s="20">
        <v>3</v>
      </c>
      <c r="C11" s="20" t="s">
        <v>37</v>
      </c>
      <c r="D11" s="20" t="s">
        <v>33</v>
      </c>
      <c r="E11" s="20" t="s">
        <v>41</v>
      </c>
      <c r="F11" s="20" t="s">
        <v>35</v>
      </c>
      <c r="G11" s="10" t="s">
        <v>42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22" customHeight="1" spans="1:26">
      <c r="A12" s="21" t="s">
        <v>43</v>
      </c>
      <c r="B12" s="12">
        <v>300</v>
      </c>
      <c r="C12" s="12" t="s">
        <v>44</v>
      </c>
      <c r="D12" s="12" t="s">
        <v>33</v>
      </c>
      <c r="E12" s="12" t="s">
        <v>45</v>
      </c>
      <c r="F12" s="12" t="s">
        <v>35</v>
      </c>
      <c r="G12" s="13" t="s">
        <v>42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22" customHeight="1" spans="1:26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22" customHeight="1" spans="1:26">
      <c r="A14" s="22" t="s">
        <v>46</v>
      </c>
      <c r="B14" s="22"/>
      <c r="C14" s="22"/>
      <c r="D14" s="22"/>
      <c r="E14" s="22"/>
      <c r="F14" s="22"/>
      <c r="G14" s="22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22" customHeight="1" spans="1:26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22" customHeight="1" spans="1:26">
      <c r="A16" s="15" t="s">
        <v>47</v>
      </c>
      <c r="B16" s="15" t="s">
        <v>48</v>
      </c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22" customHeight="1" spans="1:26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22" customHeight="1" spans="1:26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22" customHeight="1" spans="1:26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22" customHeight="1" spans="1:26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22" customHeight="1" spans="1:26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22" customHeight="1" spans="1:26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22" customHeight="1" spans="1:26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22" customHeight="1" spans="1:26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ht="22" customHeight="1" spans="1:26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ht="22" customHeight="1" spans="1: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ht="22" customHeight="1" spans="1:26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ht="22" customHeight="1" spans="1:26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ht="22" customHeight="1" spans="1:26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ht="22" customHeight="1" spans="1:26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</sheetData>
  <mergeCells count="2">
    <mergeCell ref="A1:G1"/>
    <mergeCell ref="A14:G14"/>
  </mergeCells>
  <pageMargins left="0.7" right="0.7" top="0.75" bottom="0.75" header="0.3" footer="0.3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0"/>
  <sheetViews>
    <sheetView tabSelected="1" workbookViewId="0">
      <selection activeCell="A1" sqref="A1:G1"/>
    </sheetView>
  </sheetViews>
  <sheetFormatPr defaultColWidth="9" defaultRowHeight="14.25"/>
  <cols>
    <col min="1" max="1" width="10" customWidth="1"/>
    <col min="2" max="2" width="28" customWidth="1"/>
    <col min="3" max="3" width="34" customWidth="1"/>
    <col min="4" max="4" width="14" customWidth="1"/>
    <col min="5" max="5" width="34" customWidth="1"/>
    <col min="6" max="6" width="30" customWidth="1"/>
    <col min="7" max="7" width="40" customWidth="1"/>
  </cols>
  <sheetData>
    <row r="1" ht="32" customHeight="1" spans="1:26">
      <c r="A1" s="16" t="s">
        <v>49</v>
      </c>
      <c r="B1" s="16"/>
      <c r="C1" s="16"/>
      <c r="D1" s="16"/>
      <c r="E1" s="16"/>
      <c r="F1" s="16"/>
      <c r="G1" s="16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" customHeight="1" spans="1:26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22" customHeight="1" spans="1:26">
      <c r="A3" s="2" t="s">
        <v>50</v>
      </c>
      <c r="B3" s="3" t="s">
        <v>51</v>
      </c>
      <c r="C3" s="3" t="s">
        <v>52</v>
      </c>
      <c r="D3" s="3" t="s">
        <v>53</v>
      </c>
      <c r="E3" s="3" t="s">
        <v>54</v>
      </c>
      <c r="F3" s="3" t="s">
        <v>55</v>
      </c>
      <c r="G3" s="4" t="s">
        <v>20</v>
      </c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22" customHeight="1" spans="1:26">
      <c r="A4" s="18" t="s">
        <v>56</v>
      </c>
      <c r="B4" s="6" t="s">
        <v>57</v>
      </c>
      <c r="C4" s="6" t="s">
        <v>58</v>
      </c>
      <c r="D4" s="6" t="s">
        <v>56</v>
      </c>
      <c r="E4" s="6" t="s">
        <v>59</v>
      </c>
      <c r="F4" s="6" t="s">
        <v>60</v>
      </c>
      <c r="G4" s="7" t="s">
        <v>42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22" customHeight="1" spans="1:26">
      <c r="A5" s="19" t="s">
        <v>61</v>
      </c>
      <c r="B5" s="20" t="s">
        <v>62</v>
      </c>
      <c r="C5" s="20" t="s">
        <v>63</v>
      </c>
      <c r="D5" s="20" t="s">
        <v>56</v>
      </c>
      <c r="E5" s="20" t="s">
        <v>64</v>
      </c>
      <c r="F5" s="20" t="s">
        <v>60</v>
      </c>
      <c r="G5" s="10" t="s">
        <v>65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22" customHeight="1" spans="1:26">
      <c r="A6" s="19" t="s">
        <v>66</v>
      </c>
      <c r="B6" s="20" t="s">
        <v>67</v>
      </c>
      <c r="C6" s="20" t="s">
        <v>63</v>
      </c>
      <c r="D6" s="20" t="s">
        <v>56</v>
      </c>
      <c r="E6" s="20" t="s">
        <v>68</v>
      </c>
      <c r="F6" s="20" t="s">
        <v>60</v>
      </c>
      <c r="G6" s="10" t="s">
        <v>42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22" customHeight="1" spans="1:26">
      <c r="A7" s="19" t="s">
        <v>69</v>
      </c>
      <c r="B7" s="20" t="s">
        <v>70</v>
      </c>
      <c r="C7" s="20" t="s">
        <v>58</v>
      </c>
      <c r="D7" s="20" t="s">
        <v>56</v>
      </c>
      <c r="E7" s="20" t="s">
        <v>71</v>
      </c>
      <c r="F7" s="20" t="s">
        <v>60</v>
      </c>
      <c r="G7" s="10" t="s">
        <v>42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22" customHeight="1" spans="1:26">
      <c r="A8" s="19" t="s">
        <v>72</v>
      </c>
      <c r="B8" s="20" t="s">
        <v>73</v>
      </c>
      <c r="C8" s="20" t="s">
        <v>74</v>
      </c>
      <c r="D8" s="20" t="s">
        <v>56</v>
      </c>
      <c r="E8" s="20" t="s">
        <v>75</v>
      </c>
      <c r="F8" s="20" t="s">
        <v>60</v>
      </c>
      <c r="G8" s="10" t="s">
        <v>76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22" customHeight="1" spans="1:26">
      <c r="A9" s="19" t="s">
        <v>77</v>
      </c>
      <c r="B9" s="20" t="s">
        <v>78</v>
      </c>
      <c r="C9" s="20" t="s">
        <v>58</v>
      </c>
      <c r="D9" s="20" t="s">
        <v>56</v>
      </c>
      <c r="E9" s="20" t="s">
        <v>79</v>
      </c>
      <c r="F9" s="20" t="s">
        <v>60</v>
      </c>
      <c r="G9" s="10" t="s">
        <v>80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22" customHeight="1" spans="1:26">
      <c r="A10" s="19" t="s">
        <v>81</v>
      </c>
      <c r="B10" s="20" t="s">
        <v>82</v>
      </c>
      <c r="C10" s="20" t="s">
        <v>58</v>
      </c>
      <c r="D10" s="20" t="s">
        <v>56</v>
      </c>
      <c r="E10" s="20" t="s">
        <v>83</v>
      </c>
      <c r="F10" s="20" t="s">
        <v>60</v>
      </c>
      <c r="G10" s="10" t="s">
        <v>42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22" customHeight="1" spans="1:26">
      <c r="A11" s="19" t="s">
        <v>84</v>
      </c>
      <c r="B11" s="20" t="s">
        <v>85</v>
      </c>
      <c r="C11" s="20" t="s">
        <v>58</v>
      </c>
      <c r="D11" s="20" t="s">
        <v>56</v>
      </c>
      <c r="E11" s="20" t="s">
        <v>86</v>
      </c>
      <c r="F11" s="20" t="s">
        <v>60</v>
      </c>
      <c r="G11" s="10" t="s">
        <v>42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22" customHeight="1" spans="1:26">
      <c r="A12" s="19" t="s">
        <v>87</v>
      </c>
      <c r="B12" s="20" t="s">
        <v>88</v>
      </c>
      <c r="C12" s="20" t="s">
        <v>89</v>
      </c>
      <c r="D12" s="20" t="s">
        <v>56</v>
      </c>
      <c r="E12" s="20" t="s">
        <v>90</v>
      </c>
      <c r="F12" s="20" t="s">
        <v>60</v>
      </c>
      <c r="G12" s="10" t="s">
        <v>91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22" customHeight="1" spans="1:26">
      <c r="A13" s="19" t="s">
        <v>92</v>
      </c>
      <c r="B13" s="20" t="s">
        <v>93</v>
      </c>
      <c r="C13" s="20" t="s">
        <v>58</v>
      </c>
      <c r="D13" s="20" t="s">
        <v>56</v>
      </c>
      <c r="E13" s="20" t="s">
        <v>94</v>
      </c>
      <c r="F13" s="20" t="s">
        <v>60</v>
      </c>
      <c r="G13" s="10" t="s">
        <v>42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22" customHeight="1" spans="1:26">
      <c r="A14" s="19" t="s">
        <v>95</v>
      </c>
      <c r="B14" s="20" t="s">
        <v>96</v>
      </c>
      <c r="C14" s="20" t="s">
        <v>97</v>
      </c>
      <c r="D14" s="20" t="s">
        <v>56</v>
      </c>
      <c r="E14" s="20" t="s">
        <v>98</v>
      </c>
      <c r="F14" s="20" t="s">
        <v>60</v>
      </c>
      <c r="G14" s="10" t="s">
        <v>99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22" customHeight="1" spans="1:26">
      <c r="A15" s="21" t="s">
        <v>100</v>
      </c>
      <c r="B15" s="12" t="s">
        <v>101</v>
      </c>
      <c r="C15" s="12" t="s">
        <v>58</v>
      </c>
      <c r="D15" s="12" t="s">
        <v>56</v>
      </c>
      <c r="E15" s="12" t="s">
        <v>102</v>
      </c>
      <c r="F15" s="12" t="s">
        <v>60</v>
      </c>
      <c r="G15" s="13" t="s">
        <v>103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22" customHeight="1" spans="1:2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22" customHeight="1" spans="1:26">
      <c r="A17" s="15" t="s">
        <v>47</v>
      </c>
      <c r="B17" s="15" t="s">
        <v>48</v>
      </c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22" customHeight="1" spans="1:26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22" customHeight="1" spans="1:26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22" customHeight="1" spans="1:26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22" customHeight="1" spans="1:26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22" customHeight="1" spans="1:26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22" customHeight="1" spans="1:26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22" customHeight="1" spans="1:26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ht="22" customHeight="1" spans="1:26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ht="22" customHeight="1" spans="1: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ht="22" customHeight="1" spans="1:26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ht="22" customHeight="1" spans="1:26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ht="22" customHeight="1" spans="1:26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ht="22" customHeight="1" spans="1:26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</sheetData>
  <mergeCells count="1">
    <mergeCell ref="A1:G1"/>
  </mergeCell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0"/>
  <sheetViews>
    <sheetView workbookViewId="0">
      <selection activeCell="A1" sqref="A1:H1"/>
    </sheetView>
  </sheetViews>
  <sheetFormatPr defaultColWidth="9" defaultRowHeight="14.25"/>
  <cols>
    <col min="1" max="1" width="10" customWidth="1"/>
    <col min="2" max="2" width="28" customWidth="1"/>
    <col min="3" max="6" width="20" customWidth="1"/>
    <col min="7" max="7" width="12" customWidth="1"/>
    <col min="8" max="8" width="44" customWidth="1"/>
  </cols>
  <sheetData>
    <row r="1" ht="32" customHeight="1" spans="1:26">
      <c r="A1" s="16" t="s">
        <v>104</v>
      </c>
      <c r="B1" s="16"/>
      <c r="C1" s="16"/>
      <c r="D1" s="16"/>
      <c r="E1" s="16"/>
      <c r="F1" s="16"/>
      <c r="G1" s="16"/>
      <c r="H1" s="16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" customHeight="1" spans="1:26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22" customHeight="1" spans="1:26">
      <c r="A3" s="2" t="s">
        <v>50</v>
      </c>
      <c r="B3" s="3" t="s">
        <v>51</v>
      </c>
      <c r="C3" s="3" t="s">
        <v>105</v>
      </c>
      <c r="D3" s="3" t="s">
        <v>106</v>
      </c>
      <c r="E3" s="3" t="s">
        <v>107</v>
      </c>
      <c r="F3" s="3" t="s">
        <v>108</v>
      </c>
      <c r="G3" s="3" t="s">
        <v>109</v>
      </c>
      <c r="H3" s="4" t="s">
        <v>110</v>
      </c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22" customHeight="1" spans="1:26">
      <c r="A4" s="18" t="s">
        <v>56</v>
      </c>
      <c r="B4" s="6" t="s">
        <v>57</v>
      </c>
      <c r="C4" s="6" t="s">
        <v>111</v>
      </c>
      <c r="D4" s="6" t="s">
        <v>112</v>
      </c>
      <c r="E4" s="6" t="s">
        <v>113</v>
      </c>
      <c r="F4" s="6" t="s">
        <v>114</v>
      </c>
      <c r="G4" s="6" t="s">
        <v>115</v>
      </c>
      <c r="H4" s="7" t="s">
        <v>116</v>
      </c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22" customHeight="1" spans="1:26">
      <c r="A5" s="19" t="s">
        <v>61</v>
      </c>
      <c r="B5" s="20" t="s">
        <v>117</v>
      </c>
      <c r="C5" s="20" t="s">
        <v>118</v>
      </c>
      <c r="D5" s="20" t="s">
        <v>118</v>
      </c>
      <c r="E5" s="20" t="s">
        <v>118</v>
      </c>
      <c r="F5" s="20" t="s">
        <v>119</v>
      </c>
      <c r="G5" s="20" t="s">
        <v>120</v>
      </c>
      <c r="H5" s="10" t="s">
        <v>121</v>
      </c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22" customHeight="1" spans="1:26">
      <c r="A6" s="19" t="s">
        <v>66</v>
      </c>
      <c r="B6" s="20" t="s">
        <v>122</v>
      </c>
      <c r="C6" s="20" t="s">
        <v>118</v>
      </c>
      <c r="D6" s="20" t="s">
        <v>118</v>
      </c>
      <c r="E6" s="20" t="s">
        <v>118</v>
      </c>
      <c r="F6" s="20" t="s">
        <v>119</v>
      </c>
      <c r="G6" s="20" t="s">
        <v>120</v>
      </c>
      <c r="H6" s="10" t="s">
        <v>123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22" customHeight="1" spans="1:26">
      <c r="A7" s="19" t="s">
        <v>124</v>
      </c>
      <c r="B7" s="20" t="s">
        <v>125</v>
      </c>
      <c r="C7" s="20" t="s">
        <v>118</v>
      </c>
      <c r="D7" s="20" t="s">
        <v>118</v>
      </c>
      <c r="E7" s="20" t="s">
        <v>118</v>
      </c>
      <c r="F7" s="20" t="s">
        <v>119</v>
      </c>
      <c r="G7" s="20" t="s">
        <v>120</v>
      </c>
      <c r="H7" s="10" t="s">
        <v>126</v>
      </c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22" customHeight="1" spans="1:26">
      <c r="A8" s="19" t="s">
        <v>127</v>
      </c>
      <c r="B8" s="20" t="s">
        <v>128</v>
      </c>
      <c r="C8" s="20" t="s">
        <v>129</v>
      </c>
      <c r="D8" s="20" t="s">
        <v>130</v>
      </c>
      <c r="E8" s="20" t="s">
        <v>131</v>
      </c>
      <c r="F8" s="20" t="s">
        <v>132</v>
      </c>
      <c r="G8" s="20" t="s">
        <v>115</v>
      </c>
      <c r="H8" s="10" t="s">
        <v>133</v>
      </c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22" customHeight="1" spans="1:26">
      <c r="A9" s="19" t="s">
        <v>134</v>
      </c>
      <c r="B9" s="20" t="s">
        <v>135</v>
      </c>
      <c r="C9" s="20" t="s">
        <v>136</v>
      </c>
      <c r="D9" s="20" t="s">
        <v>137</v>
      </c>
      <c r="E9" s="20" t="s">
        <v>138</v>
      </c>
      <c r="F9" s="20" t="s">
        <v>139</v>
      </c>
      <c r="G9" s="20" t="s">
        <v>120</v>
      </c>
      <c r="H9" s="10" t="s">
        <v>140</v>
      </c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22" customHeight="1" spans="1:26">
      <c r="A10" s="19" t="s">
        <v>141</v>
      </c>
      <c r="B10" s="20" t="s">
        <v>142</v>
      </c>
      <c r="C10" s="20" t="s">
        <v>118</v>
      </c>
      <c r="D10" s="20" t="s">
        <v>118</v>
      </c>
      <c r="E10" s="20" t="s">
        <v>143</v>
      </c>
      <c r="F10" s="20" t="s">
        <v>144</v>
      </c>
      <c r="G10" s="20" t="s">
        <v>115</v>
      </c>
      <c r="H10" s="10" t="s">
        <v>145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22" customHeight="1" spans="1:26">
      <c r="A11" s="19" t="s">
        <v>146</v>
      </c>
      <c r="B11" s="20" t="s">
        <v>147</v>
      </c>
      <c r="C11" s="20" t="s">
        <v>118</v>
      </c>
      <c r="D11" s="20" t="s">
        <v>118</v>
      </c>
      <c r="E11" s="20" t="s">
        <v>143</v>
      </c>
      <c r="F11" s="20" t="s">
        <v>144</v>
      </c>
      <c r="G11" s="20" t="s">
        <v>115</v>
      </c>
      <c r="H11" s="10" t="s">
        <v>148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22" customHeight="1" spans="1:26">
      <c r="A12" s="19" t="s">
        <v>87</v>
      </c>
      <c r="B12" s="20" t="s">
        <v>149</v>
      </c>
      <c r="C12" s="20" t="s">
        <v>150</v>
      </c>
      <c r="D12" s="20" t="s">
        <v>151</v>
      </c>
      <c r="E12" s="20" t="s">
        <v>152</v>
      </c>
      <c r="F12" s="20" t="s">
        <v>153</v>
      </c>
      <c r="G12" s="20" t="s">
        <v>120</v>
      </c>
      <c r="H12" s="10" t="s">
        <v>154</v>
      </c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22" customHeight="1" spans="1:26">
      <c r="A13" s="19" t="s">
        <v>92</v>
      </c>
      <c r="B13" s="20" t="s">
        <v>155</v>
      </c>
      <c r="C13" s="20" t="s">
        <v>156</v>
      </c>
      <c r="D13" s="20" t="s">
        <v>157</v>
      </c>
      <c r="E13" s="20" t="s">
        <v>158</v>
      </c>
      <c r="F13" s="20" t="s">
        <v>159</v>
      </c>
      <c r="G13" s="20" t="s">
        <v>120</v>
      </c>
      <c r="H13" s="10" t="s">
        <v>160</v>
      </c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22" customHeight="1" spans="1:26">
      <c r="A14" s="19" t="s">
        <v>161</v>
      </c>
      <c r="B14" s="20" t="s">
        <v>162</v>
      </c>
      <c r="C14" s="20" t="s">
        <v>163</v>
      </c>
      <c r="D14" s="20" t="s">
        <v>164</v>
      </c>
      <c r="E14" s="20" t="s">
        <v>165</v>
      </c>
      <c r="F14" s="20" t="s">
        <v>166</v>
      </c>
      <c r="G14" s="20" t="s">
        <v>120</v>
      </c>
      <c r="H14" s="10" t="s">
        <v>167</v>
      </c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22" customHeight="1" spans="1:26">
      <c r="A15" s="19" t="s">
        <v>168</v>
      </c>
      <c r="B15" s="20" t="s">
        <v>169</v>
      </c>
      <c r="C15" s="20" t="s">
        <v>170</v>
      </c>
      <c r="D15" s="20" t="s">
        <v>171</v>
      </c>
      <c r="E15" s="20" t="s">
        <v>172</v>
      </c>
      <c r="F15" s="20" t="s">
        <v>173</v>
      </c>
      <c r="G15" s="20" t="s">
        <v>120</v>
      </c>
      <c r="H15" s="10" t="s">
        <v>174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22" customHeight="1" spans="1:26">
      <c r="A16" s="19" t="s">
        <v>175</v>
      </c>
      <c r="B16" s="20" t="s">
        <v>176</v>
      </c>
      <c r="C16" s="20" t="s">
        <v>156</v>
      </c>
      <c r="D16" s="20" t="s">
        <v>157</v>
      </c>
      <c r="E16" s="20" t="s">
        <v>158</v>
      </c>
      <c r="F16" s="20" t="s">
        <v>159</v>
      </c>
      <c r="G16" s="20" t="s">
        <v>115</v>
      </c>
      <c r="H16" s="10" t="s">
        <v>177</v>
      </c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22" customHeight="1" spans="1:26">
      <c r="A17" s="19" t="s">
        <v>178</v>
      </c>
      <c r="B17" s="20" t="s">
        <v>179</v>
      </c>
      <c r="C17" s="20" t="s">
        <v>163</v>
      </c>
      <c r="D17" s="20" t="s">
        <v>164</v>
      </c>
      <c r="E17" s="20" t="s">
        <v>165</v>
      </c>
      <c r="F17" s="20" t="s">
        <v>166</v>
      </c>
      <c r="G17" s="20" t="s">
        <v>115</v>
      </c>
      <c r="H17" s="10" t="s">
        <v>180</v>
      </c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22" customHeight="1" spans="1:26">
      <c r="A18" s="21" t="s">
        <v>181</v>
      </c>
      <c r="B18" s="12" t="s">
        <v>182</v>
      </c>
      <c r="C18" s="12" t="s">
        <v>156</v>
      </c>
      <c r="D18" s="12" t="s">
        <v>157</v>
      </c>
      <c r="E18" s="12" t="s">
        <v>158</v>
      </c>
      <c r="F18" s="12" t="s">
        <v>159</v>
      </c>
      <c r="G18" s="12" t="s">
        <v>115</v>
      </c>
      <c r="H18" s="13" t="s">
        <v>183</v>
      </c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22" customHeight="1" spans="1:26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22" customHeight="1" spans="1:26">
      <c r="A20" s="15" t="s">
        <v>47</v>
      </c>
      <c r="B20" s="15" t="s">
        <v>48</v>
      </c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22" customHeight="1" spans="1:26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22" customHeight="1" spans="1:26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22" customHeight="1" spans="1:26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22" customHeight="1" spans="1:26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ht="22" customHeight="1" spans="1:26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ht="22" customHeight="1" spans="1: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ht="22" customHeight="1" spans="1:26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ht="22" customHeight="1" spans="1:26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ht="22" customHeight="1" spans="1:26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ht="22" customHeight="1" spans="1:26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</sheetData>
  <mergeCells count="1">
    <mergeCell ref="A1:H1"/>
  </mergeCell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0"/>
  <sheetViews>
    <sheetView workbookViewId="0">
      <selection activeCell="D20" sqref="D20"/>
    </sheetView>
  </sheetViews>
  <sheetFormatPr defaultColWidth="9" defaultRowHeight="14.25"/>
  <cols>
    <col min="1" max="1" width="18" customWidth="1"/>
    <col min="2" max="2" width="16" customWidth="1"/>
    <col min="3" max="3" width="20" customWidth="1"/>
    <col min="4" max="4" width="28" customWidth="1"/>
    <col min="5" max="5" width="34" customWidth="1"/>
  </cols>
  <sheetData>
    <row r="1" ht="32" customHeight="1" spans="1:26">
      <c r="A1" s="16" t="s">
        <v>184</v>
      </c>
      <c r="B1" s="16"/>
      <c r="C1" s="16"/>
      <c r="D1" s="16"/>
      <c r="E1" s="16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" customHeight="1" spans="1:26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22" customHeight="1" spans="1:26">
      <c r="A3" s="2" t="s">
        <v>130</v>
      </c>
      <c r="B3" s="3" t="s">
        <v>185</v>
      </c>
      <c r="C3" s="3" t="s">
        <v>186</v>
      </c>
      <c r="D3" s="3" t="s">
        <v>187</v>
      </c>
      <c r="E3" s="4" t="s">
        <v>188</v>
      </c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22" customHeight="1" spans="1:26">
      <c r="A4" s="18" t="s">
        <v>189</v>
      </c>
      <c r="B4" s="6">
        <v>1</v>
      </c>
      <c r="C4" s="6">
        <v>100</v>
      </c>
      <c r="D4" s="6" t="s">
        <v>190</v>
      </c>
      <c r="E4" s="7" t="s">
        <v>191</v>
      </c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22" customHeight="1" spans="1:26">
      <c r="A5" s="19" t="s">
        <v>192</v>
      </c>
      <c r="B5" s="20">
        <v>5</v>
      </c>
      <c r="C5" s="20">
        <v>500</v>
      </c>
      <c r="D5" s="20" t="s">
        <v>193</v>
      </c>
      <c r="E5" s="10" t="s">
        <v>194</v>
      </c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22" customHeight="1" spans="1:26">
      <c r="A6" s="19" t="s">
        <v>195</v>
      </c>
      <c r="B6" s="20">
        <v>10</v>
      </c>
      <c r="C6" s="20">
        <v>1000</v>
      </c>
      <c r="D6" s="20" t="s">
        <v>196</v>
      </c>
      <c r="E6" s="10" t="s">
        <v>197</v>
      </c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22" customHeight="1" spans="1:26">
      <c r="A7" s="19" t="s">
        <v>198</v>
      </c>
      <c r="B7" s="20">
        <v>20</v>
      </c>
      <c r="C7" s="20">
        <v>2000</v>
      </c>
      <c r="D7" s="20" t="s">
        <v>199</v>
      </c>
      <c r="E7" s="10" t="s">
        <v>200</v>
      </c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22" customHeight="1" spans="1:26">
      <c r="A8" s="19" t="s">
        <v>201</v>
      </c>
      <c r="B8" s="20">
        <v>50</v>
      </c>
      <c r="C8" s="20">
        <v>5000</v>
      </c>
      <c r="D8" s="20" t="s">
        <v>202</v>
      </c>
      <c r="E8" s="10" t="s">
        <v>203</v>
      </c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22" customHeight="1" spans="1:26">
      <c r="A9" s="21" t="s">
        <v>204</v>
      </c>
      <c r="B9" s="12">
        <v>100</v>
      </c>
      <c r="C9" s="12">
        <v>10000</v>
      </c>
      <c r="D9" s="12" t="s">
        <v>205</v>
      </c>
      <c r="E9" s="13" t="s">
        <v>206</v>
      </c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22" customHeight="1" spans="1:26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22" customHeight="1" spans="1:26">
      <c r="A11" s="22" t="s">
        <v>207</v>
      </c>
      <c r="B11" s="22"/>
      <c r="C11" s="22"/>
      <c r="D11" s="22"/>
      <c r="E11" s="22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22" customHeight="1" spans="1:26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22" customHeight="1" spans="1:26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22" customHeight="1" spans="1:26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22" customHeight="1" spans="1:26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22" customHeight="1" spans="1:2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22" customHeight="1" spans="1:26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22" customHeight="1" spans="1:26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22" customHeight="1" spans="1:26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22" customHeight="1" spans="1:26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22" customHeight="1" spans="1:26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22" customHeight="1" spans="1:26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22" customHeight="1" spans="1:26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22" customHeight="1" spans="1:26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ht="22" customHeight="1" spans="1:26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ht="22" customHeight="1" spans="1: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ht="22" customHeight="1" spans="1:26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ht="22" customHeight="1" spans="1:26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ht="22" customHeight="1" spans="1:26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ht="22" customHeight="1" spans="1:26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</sheetData>
  <mergeCells count="2">
    <mergeCell ref="A1:E1"/>
    <mergeCell ref="A11:E11"/>
  </mergeCells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0"/>
  <sheetViews>
    <sheetView workbookViewId="0">
      <selection activeCell="B12" sqref="B12"/>
    </sheetView>
  </sheetViews>
  <sheetFormatPr defaultColWidth="9" defaultRowHeight="14.25"/>
  <cols>
    <col min="1" max="1" width="9" customWidth="1"/>
    <col min="2" max="2" width="28" customWidth="1"/>
    <col min="3" max="3" width="38" customWidth="1"/>
    <col min="4" max="4" width="30" customWidth="1"/>
    <col min="5" max="5" width="36" customWidth="1"/>
    <col min="6" max="6" width="24" customWidth="1"/>
  </cols>
  <sheetData>
    <row r="1" ht="32" customHeight="1" spans="1:26">
      <c r="A1" s="16" t="s">
        <v>208</v>
      </c>
      <c r="B1" s="16"/>
      <c r="C1" s="16"/>
      <c r="D1" s="16"/>
      <c r="E1" s="16"/>
      <c r="F1" s="16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" customHeight="1" spans="1:26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22" customHeight="1" spans="1:26">
      <c r="A3" s="2" t="s">
        <v>209</v>
      </c>
      <c r="B3" s="3" t="s">
        <v>210</v>
      </c>
      <c r="C3" s="3" t="s">
        <v>211</v>
      </c>
      <c r="D3" s="3" t="s">
        <v>212</v>
      </c>
      <c r="E3" s="3" t="s">
        <v>213</v>
      </c>
      <c r="F3" s="4" t="s">
        <v>214</v>
      </c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22" customHeight="1" spans="1:26">
      <c r="A4" s="18">
        <v>1</v>
      </c>
      <c r="B4" s="6" t="s">
        <v>215</v>
      </c>
      <c r="C4" s="6" t="s">
        <v>216</v>
      </c>
      <c r="D4" s="6" t="s">
        <v>217</v>
      </c>
      <c r="E4" s="6" t="s">
        <v>218</v>
      </c>
      <c r="F4" s="7" t="s">
        <v>219</v>
      </c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22" customHeight="1" spans="1:26">
      <c r="A5" s="19">
        <v>2</v>
      </c>
      <c r="B5" s="20" t="s">
        <v>220</v>
      </c>
      <c r="C5" s="20" t="s">
        <v>221</v>
      </c>
      <c r="D5" s="20" t="s">
        <v>222</v>
      </c>
      <c r="E5" s="20" t="s">
        <v>223</v>
      </c>
      <c r="F5" s="10" t="s">
        <v>219</v>
      </c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22" customHeight="1" spans="1:26">
      <c r="A6" s="19">
        <v>3</v>
      </c>
      <c r="B6" s="20" t="s">
        <v>224</v>
      </c>
      <c r="C6" s="20" t="s">
        <v>225</v>
      </c>
      <c r="D6" s="20" t="s">
        <v>226</v>
      </c>
      <c r="E6" s="20" t="s">
        <v>135</v>
      </c>
      <c r="F6" s="10" t="s">
        <v>227</v>
      </c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22" customHeight="1" spans="1:26">
      <c r="A7" s="19">
        <v>4</v>
      </c>
      <c r="B7" s="20" t="s">
        <v>228</v>
      </c>
      <c r="C7" s="20" t="s">
        <v>229</v>
      </c>
      <c r="D7" s="20" t="s">
        <v>230</v>
      </c>
      <c r="E7" s="20" t="s">
        <v>231</v>
      </c>
      <c r="F7" s="10" t="s">
        <v>232</v>
      </c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22" customHeight="1" spans="1:26">
      <c r="A8" s="19">
        <v>5</v>
      </c>
      <c r="B8" s="20" t="s">
        <v>233</v>
      </c>
      <c r="C8" s="20" t="s">
        <v>234</v>
      </c>
      <c r="D8" s="20" t="s">
        <v>235</v>
      </c>
      <c r="E8" s="20" t="s">
        <v>236</v>
      </c>
      <c r="F8" s="10" t="s">
        <v>237</v>
      </c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22" customHeight="1" spans="1:26">
      <c r="A9" s="19">
        <v>6</v>
      </c>
      <c r="B9" s="20" t="s">
        <v>238</v>
      </c>
      <c r="C9" s="20" t="s">
        <v>239</v>
      </c>
      <c r="D9" s="20" t="s">
        <v>240</v>
      </c>
      <c r="E9" s="20" t="s">
        <v>241</v>
      </c>
      <c r="F9" s="10" t="s">
        <v>242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22" customHeight="1" spans="1:26">
      <c r="A10" s="19">
        <v>7</v>
      </c>
      <c r="B10" s="20" t="s">
        <v>243</v>
      </c>
      <c r="C10" s="20" t="s">
        <v>244</v>
      </c>
      <c r="D10" s="20" t="s">
        <v>245</v>
      </c>
      <c r="E10" s="20" t="s">
        <v>246</v>
      </c>
      <c r="F10" s="10" t="s">
        <v>247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22" customHeight="1" spans="1:26">
      <c r="A11" s="19">
        <v>8</v>
      </c>
      <c r="B11" s="20" t="s">
        <v>248</v>
      </c>
      <c r="C11" s="20" t="s">
        <v>249</v>
      </c>
      <c r="D11" s="20" t="s">
        <v>250</v>
      </c>
      <c r="E11" s="20" t="s">
        <v>251</v>
      </c>
      <c r="F11" s="10" t="s">
        <v>252</v>
      </c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22" customHeight="1" spans="1:26">
      <c r="A12" s="19">
        <v>9</v>
      </c>
      <c r="B12" s="20" t="s">
        <v>253</v>
      </c>
      <c r="C12" s="20" t="s">
        <v>254</v>
      </c>
      <c r="D12" s="20" t="s">
        <v>255</v>
      </c>
      <c r="E12" s="20" t="s">
        <v>256</v>
      </c>
      <c r="F12" s="10" t="s">
        <v>257</v>
      </c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22" customHeight="1" spans="1:26">
      <c r="A13" s="21">
        <v>10</v>
      </c>
      <c r="B13" s="12" t="s">
        <v>258</v>
      </c>
      <c r="C13" s="12" t="s">
        <v>259</v>
      </c>
      <c r="D13" s="12" t="s">
        <v>260</v>
      </c>
      <c r="E13" s="12" t="s">
        <v>261</v>
      </c>
      <c r="F13" s="13" t="s">
        <v>262</v>
      </c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22" customHeight="1" spans="1:26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22" customHeight="1" spans="1:26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22" customHeight="1" spans="1:2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22" customHeight="1" spans="1:26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22" customHeight="1" spans="1:26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22" customHeight="1" spans="1:26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22" customHeight="1" spans="1:26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22" customHeight="1" spans="1:26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22" customHeight="1" spans="1:26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22" customHeight="1" spans="1:26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22" customHeight="1" spans="1:26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ht="22" customHeight="1" spans="1:26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ht="22" customHeight="1" spans="1: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ht="22" customHeight="1" spans="1:26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ht="22" customHeight="1" spans="1:26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ht="22" customHeight="1" spans="1:26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ht="22" customHeight="1" spans="1:26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</sheetData>
  <mergeCells count="1">
    <mergeCell ref="A1:F1"/>
  </mergeCells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0"/>
  <sheetViews>
    <sheetView workbookViewId="0">
      <selection activeCell="K11" sqref="K11"/>
    </sheetView>
  </sheetViews>
  <sheetFormatPr defaultColWidth="9" defaultRowHeight="14.25"/>
  <cols>
    <col min="1" max="1" width="9" customWidth="1"/>
    <col min="2" max="2" width="43.5" customWidth="1"/>
    <col min="3" max="3" width="62" customWidth="1"/>
    <col min="4" max="4" width="15" customWidth="1"/>
    <col min="5" max="5" width="34" customWidth="1"/>
  </cols>
  <sheetData>
    <row r="1" ht="32" customHeight="1" spans="1:26">
      <c r="A1" s="16" t="s">
        <v>263</v>
      </c>
      <c r="B1" s="16"/>
      <c r="C1" s="16"/>
      <c r="D1" s="16"/>
      <c r="E1" s="16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" customHeight="1" spans="1:26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</row>
    <row r="3" ht="22" customHeight="1" spans="1:26">
      <c r="A3" s="2" t="s">
        <v>264</v>
      </c>
      <c r="B3" s="3" t="s">
        <v>265</v>
      </c>
      <c r="C3" s="3" t="s">
        <v>266</v>
      </c>
      <c r="D3" s="3" t="s">
        <v>267</v>
      </c>
      <c r="E3" s="4" t="s">
        <v>268</v>
      </c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</row>
    <row r="4" ht="22" customHeight="1" spans="1:26">
      <c r="A4" s="18">
        <v>1</v>
      </c>
      <c r="B4" s="6" t="s">
        <v>269</v>
      </c>
      <c r="C4" s="6" t="s">
        <v>270</v>
      </c>
      <c r="D4" s="6" t="s">
        <v>271</v>
      </c>
      <c r="E4" s="7" t="s">
        <v>42</v>
      </c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</row>
    <row r="5" ht="22" customHeight="1" spans="1:26">
      <c r="A5" s="19">
        <v>2</v>
      </c>
      <c r="B5" s="20" t="s">
        <v>272</v>
      </c>
      <c r="C5" s="20" t="s">
        <v>273</v>
      </c>
      <c r="D5" s="20" t="s">
        <v>271</v>
      </c>
      <c r="E5" s="10" t="s">
        <v>42</v>
      </c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</row>
    <row r="6" ht="22" customHeight="1" spans="1:26">
      <c r="A6" s="19">
        <v>3</v>
      </c>
      <c r="B6" s="20" t="s">
        <v>274</v>
      </c>
      <c r="C6" s="20" t="s">
        <v>275</v>
      </c>
      <c r="D6" s="20" t="s">
        <v>271</v>
      </c>
      <c r="E6" s="10" t="s">
        <v>42</v>
      </c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</row>
    <row r="7" ht="22" customHeight="1" spans="1:26">
      <c r="A7" s="19">
        <v>4</v>
      </c>
      <c r="B7" s="20" t="s">
        <v>276</v>
      </c>
      <c r="C7" s="20" t="s">
        <v>277</v>
      </c>
      <c r="D7" s="20" t="s">
        <v>271</v>
      </c>
      <c r="E7" s="10" t="s">
        <v>42</v>
      </c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</row>
    <row r="8" ht="22" customHeight="1" spans="1:26">
      <c r="A8" s="19">
        <v>5</v>
      </c>
      <c r="B8" s="20" t="s">
        <v>278</v>
      </c>
      <c r="C8" s="20" t="s">
        <v>279</v>
      </c>
      <c r="D8" s="20" t="s">
        <v>271</v>
      </c>
      <c r="E8" s="10" t="s">
        <v>42</v>
      </c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</row>
    <row r="9" ht="22" customHeight="1" spans="1:26">
      <c r="A9" s="19">
        <v>6</v>
      </c>
      <c r="B9" s="20" t="s">
        <v>280</v>
      </c>
      <c r="C9" s="20" t="s">
        <v>281</v>
      </c>
      <c r="D9" s="20" t="s">
        <v>271</v>
      </c>
      <c r="E9" s="10" t="s">
        <v>42</v>
      </c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</row>
    <row r="10" ht="22" customHeight="1" spans="1:26">
      <c r="A10" s="19">
        <v>7</v>
      </c>
      <c r="B10" s="20" t="s">
        <v>282</v>
      </c>
      <c r="C10" s="20" t="s">
        <v>283</v>
      </c>
      <c r="D10" s="20" t="s">
        <v>271</v>
      </c>
      <c r="E10" s="10" t="s">
        <v>42</v>
      </c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</row>
    <row r="11" ht="22" customHeight="1" spans="1:26">
      <c r="A11" s="19">
        <v>8</v>
      </c>
      <c r="B11" s="20" t="s">
        <v>258</v>
      </c>
      <c r="C11" s="20" t="s">
        <v>284</v>
      </c>
      <c r="D11" s="20" t="s">
        <v>271</v>
      </c>
      <c r="E11" s="10" t="s">
        <v>42</v>
      </c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</row>
    <row r="12" ht="22" customHeight="1" spans="1:26">
      <c r="A12" s="19">
        <v>9</v>
      </c>
      <c r="B12" s="20" t="s">
        <v>285</v>
      </c>
      <c r="C12" s="20" t="s">
        <v>286</v>
      </c>
      <c r="D12" s="20" t="s">
        <v>271</v>
      </c>
      <c r="E12" s="10" t="s">
        <v>42</v>
      </c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</row>
    <row r="13" ht="22" customHeight="1" spans="1:26">
      <c r="A13" s="19">
        <v>10</v>
      </c>
      <c r="B13" s="20" t="s">
        <v>287</v>
      </c>
      <c r="C13" s="20" t="s">
        <v>288</v>
      </c>
      <c r="D13" s="20" t="s">
        <v>271</v>
      </c>
      <c r="E13" s="10" t="s">
        <v>42</v>
      </c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</row>
    <row r="14" ht="22" customHeight="1" spans="1:26">
      <c r="A14" s="19">
        <v>11</v>
      </c>
      <c r="B14" s="20" t="s">
        <v>289</v>
      </c>
      <c r="C14" s="20" t="s">
        <v>290</v>
      </c>
      <c r="D14" s="20" t="s">
        <v>271</v>
      </c>
      <c r="E14" s="10" t="s">
        <v>42</v>
      </c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</row>
    <row r="15" ht="22" customHeight="1" spans="1:26">
      <c r="A15" s="19">
        <v>12</v>
      </c>
      <c r="B15" s="20" t="s">
        <v>291</v>
      </c>
      <c r="C15" s="20" t="s">
        <v>292</v>
      </c>
      <c r="D15" s="20" t="s">
        <v>293</v>
      </c>
      <c r="E15" s="10" t="s">
        <v>42</v>
      </c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</row>
    <row r="16" ht="22" customHeight="1" spans="1:26">
      <c r="A16" s="19">
        <v>13</v>
      </c>
      <c r="B16" s="20" t="s">
        <v>294</v>
      </c>
      <c r="C16" s="20" t="s">
        <v>295</v>
      </c>
      <c r="D16" s="20" t="s">
        <v>293</v>
      </c>
      <c r="E16" s="10" t="s">
        <v>42</v>
      </c>
      <c r="F16" s="17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</row>
    <row r="17" ht="22" customHeight="1" spans="1:26">
      <c r="A17" s="21">
        <v>14</v>
      </c>
      <c r="B17" s="12" t="s">
        <v>296</v>
      </c>
      <c r="C17" s="12" t="s">
        <v>297</v>
      </c>
      <c r="D17" s="12" t="s">
        <v>293</v>
      </c>
      <c r="E17" s="13" t="s">
        <v>42</v>
      </c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</row>
    <row r="18" ht="30" customHeight="1" spans="1:26">
      <c r="A18" s="17">
        <v>15</v>
      </c>
      <c r="B18" s="17" t="s">
        <v>298</v>
      </c>
      <c r="C18" s="17" t="s">
        <v>299</v>
      </c>
      <c r="D18" s="17" t="s">
        <v>271</v>
      </c>
      <c r="E18" s="17" t="s">
        <v>42</v>
      </c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</row>
    <row r="19" ht="30" customHeight="1" spans="1:26">
      <c r="A19" s="17">
        <v>16</v>
      </c>
      <c r="B19" s="17" t="s">
        <v>300</v>
      </c>
      <c r="C19" s="17" t="s">
        <v>301</v>
      </c>
      <c r="D19" s="17" t="s">
        <v>271</v>
      </c>
      <c r="E19" s="17" t="s">
        <v>42</v>
      </c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</row>
    <row r="20" ht="30" customHeight="1" spans="1:26">
      <c r="A20" s="17">
        <v>17</v>
      </c>
      <c r="B20" s="17" t="s">
        <v>302</v>
      </c>
      <c r="C20" s="17" t="s">
        <v>303</v>
      </c>
      <c r="D20" s="17" t="s">
        <v>271</v>
      </c>
      <c r="E20" s="17" t="s">
        <v>42</v>
      </c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</row>
    <row r="21" ht="30" customHeight="1" spans="1:26">
      <c r="A21" s="17">
        <v>18</v>
      </c>
      <c r="B21" s="17" t="s">
        <v>304</v>
      </c>
      <c r="C21" s="17" t="s">
        <v>305</v>
      </c>
      <c r="D21" s="17" t="s">
        <v>271</v>
      </c>
      <c r="E21" s="17" t="s">
        <v>42</v>
      </c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</row>
    <row r="22" ht="22" customHeight="1" spans="1:26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</row>
    <row r="23" ht="22" customHeight="1" spans="1:26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</row>
    <row r="24" ht="22" customHeight="1" spans="1:26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</row>
    <row r="25" ht="22" customHeight="1" spans="1:26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ht="22" customHeight="1" spans="1: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ht="22" customHeight="1" spans="1:26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</row>
    <row r="28" ht="22" customHeight="1" spans="1:26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</row>
    <row r="29" ht="22" customHeight="1" spans="1:26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</row>
    <row r="30" ht="22" customHeight="1" spans="1:26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</row>
  </sheetData>
  <mergeCells count="1">
    <mergeCell ref="A1:E1"/>
  </mergeCells>
  <conditionalFormatting sqref="D4:D17">
    <cfRule type="expression" dxfId="0" priority="1">
      <formula>D4="验证通过"</formula>
    </cfRule>
    <cfRule type="expression" dxfId="1" priority="2">
      <formula>D4="验证失败"</formula>
    </cfRule>
    <cfRule type="expression" dxfId="2" priority="3">
      <formula>OR(D4="待验证",D4="待确认")</formula>
    </cfRule>
  </conditionalFormatting>
  <conditionalFormatting sqref="D18:D21">
    <cfRule type="expression" dxfId="3" priority="4">
      <formula>D18="验证通过"</formula>
    </cfRule>
    <cfRule type="expression" dxfId="4" priority="5">
      <formula>D18="验证失败"</formula>
    </cfRule>
    <cfRule type="expression" dxfId="5" priority="6">
      <formula>OR(D18="待验证",D18="待确认")</formula>
    </cfRule>
  </conditionalFormatting>
  <dataValidations count="1">
    <dataValidation type="list" sqref="D4:D17 D18:D21">
      <formula1>"待验证,验证通过,验证失败,待确认,不适用"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workbookViewId="0">
      <selection activeCell="L7" sqref="L7"/>
    </sheetView>
  </sheetViews>
  <sheetFormatPr defaultColWidth="9" defaultRowHeight="14.25" outlineLevelCol="6"/>
  <cols>
    <col min="1" max="2" width="18" customWidth="1"/>
    <col min="3" max="3" width="20" customWidth="1"/>
    <col min="4" max="5" width="12" customWidth="1"/>
    <col min="6" max="6" width="12.0083333333333" customWidth="1"/>
  </cols>
  <sheetData>
    <row r="1" ht="32" customHeight="1" spans="1:7">
      <c r="A1" s="1" t="s">
        <v>306</v>
      </c>
      <c r="B1" s="1"/>
      <c r="C1" s="1"/>
      <c r="D1" s="1"/>
      <c r="E1" s="1"/>
      <c r="F1" s="1"/>
      <c r="G1" s="1"/>
    </row>
    <row r="2" ht="22" customHeight="1"/>
    <row r="3" ht="22" customHeight="1" spans="1:7">
      <c r="A3" s="2" t="s">
        <v>307</v>
      </c>
      <c r="B3" s="3" t="s">
        <v>308</v>
      </c>
      <c r="C3" s="3" t="s">
        <v>309</v>
      </c>
      <c r="D3" s="3" t="s">
        <v>105</v>
      </c>
      <c r="E3" s="3" t="s">
        <v>106</v>
      </c>
      <c r="F3" s="4" t="s">
        <v>107</v>
      </c>
      <c r="G3" s="3" t="s">
        <v>108</v>
      </c>
    </row>
    <row r="4" ht="22" customHeight="1" spans="1:7">
      <c r="A4" s="5">
        <v>0.01</v>
      </c>
      <c r="B4" s="6">
        <v>1</v>
      </c>
      <c r="C4" s="6" t="s">
        <v>310</v>
      </c>
      <c r="D4" s="6" t="s">
        <v>56</v>
      </c>
      <c r="E4" s="6" t="s">
        <v>56</v>
      </c>
      <c r="F4" s="7" t="s">
        <v>56</v>
      </c>
      <c r="G4" t="s">
        <v>61</v>
      </c>
    </row>
    <row r="5" ht="22" customHeight="1" spans="1:7">
      <c r="A5" s="8">
        <v>1</v>
      </c>
      <c r="B5" s="9">
        <v>100</v>
      </c>
      <c r="C5" s="9" t="s">
        <v>311</v>
      </c>
      <c r="D5" s="9" t="s">
        <v>56</v>
      </c>
      <c r="E5" s="9" t="s">
        <v>56</v>
      </c>
      <c r="F5" s="10" t="s">
        <v>56</v>
      </c>
      <c r="G5" t="s">
        <v>312</v>
      </c>
    </row>
    <row r="6" ht="22" customHeight="1" spans="1:7">
      <c r="A6" s="8">
        <v>2.5</v>
      </c>
      <c r="B6" s="9">
        <v>250</v>
      </c>
      <c r="C6" s="9" t="s">
        <v>313</v>
      </c>
      <c r="D6" s="9" t="s">
        <v>56</v>
      </c>
      <c r="E6" s="9" t="s">
        <v>56</v>
      </c>
      <c r="F6" s="10" t="s">
        <v>56</v>
      </c>
      <c r="G6" t="s">
        <v>314</v>
      </c>
    </row>
    <row r="7" ht="22" customHeight="1" spans="1:7">
      <c r="A7" s="11">
        <v>100</v>
      </c>
      <c r="B7" s="12">
        <v>10000</v>
      </c>
      <c r="C7" s="12" t="s">
        <v>315</v>
      </c>
      <c r="D7" s="12" t="s">
        <v>56</v>
      </c>
      <c r="E7" s="12" t="s">
        <v>56</v>
      </c>
      <c r="F7" s="13" t="s">
        <v>316</v>
      </c>
      <c r="G7" t="s">
        <v>69</v>
      </c>
    </row>
    <row r="8" ht="22" customHeight="1"/>
    <row r="9" ht="22" customHeight="1" spans="1:7">
      <c r="A9" s="14" t="s">
        <v>317</v>
      </c>
      <c r="B9" s="14"/>
      <c r="C9" s="14"/>
      <c r="D9" s="14"/>
      <c r="E9" s="14"/>
      <c r="F9" s="14"/>
      <c r="G9" s="14"/>
    </row>
    <row r="10" ht="22" customHeight="1"/>
    <row r="11" ht="22" customHeight="1" spans="1:7">
      <c r="A11" s="15" t="s">
        <v>47</v>
      </c>
      <c r="B11" s="15" t="s">
        <v>48</v>
      </c>
    </row>
    <row r="12" ht="22" customHeight="1"/>
    <row r="13" ht="22" customHeight="1"/>
    <row r="14" ht="22" customHeight="1"/>
    <row r="15" ht="22" customHeight="1"/>
  </sheetData>
  <mergeCells count="2">
    <mergeCell ref="A1:G1"/>
    <mergeCell ref="A9:G9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通信总览</vt:lpstr>
      <vt:lpstr>安卓发给主板</vt:lpstr>
      <vt:lpstr>主板发给安卓</vt:lpstr>
      <vt:lpstr>人民币映射</vt:lpstr>
      <vt:lpstr>购买与故障流程</vt:lpstr>
      <vt:lpstr>联调确认项</vt:lpstr>
      <vt:lpstr>价格编码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WPS_1622474182</cp:lastModifiedBy>
  <dcterms:created xsi:type="dcterms:W3CDTF">2026-07-28T06:27:32Z</dcterms:created>
  <dcterms:modified xsi:type="dcterms:W3CDTF">2026-07-28T07:59:02Z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6CD00AB10E7748CA8C3D85A0891AC716_12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